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<sst xmlns="http://schemas.openxmlformats.org/spreadsheetml/2006/main" count="216" uniqueCount="113">
  <si>
    <t/>
  </si>
  <si>
    <t xml:space="preserve">Bill of Materials </t>
  </si>
  <si>
    <t>canopy_macropadxlsx</t>
  </si>
  <si>
    <t>Project Title：</t>
  </si>
  <si>
    <t>Canopy MacroPad</t>
  </si>
  <si>
    <t>Variant:</t>
  </si>
  <si>
    <t xml:space="preserve"> </t>
  </si>
  <si>
    <t>Report Time：</t>
  </si>
  <si>
    <t>2026年8月17日 17:50:17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</si>
  <si>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</si>
  <si>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</si>
  <si>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</si>
  <si>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</si>
  <si>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</si>
  <si>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</si>
  <si>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</si>
  <si>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</si>
  <si>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</si>
  <si>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</si>
  <si>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</si>
  <si>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</si>
  <si>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15pF</t>
  </si>
  <si>
    <t>C1, C2</t>
  </si>
  <si>
    <t>C0402</t>
  </si>
  <si>
    <t>0402CG150J500NT</t>
  </si>
  <si>
    <t>FH(风华)</t>
  </si>
  <si>
    <t>0402CG150J500NT.1</t>
  </si>
  <si>
    <t>LCSC</t>
  </si>
  <si>
    <t>100nF</t>
  </si>
  <si>
    <t>C3, C4, C7, C8, C9, C10, C11, C12, C13, C14</t>
  </si>
  <si>
    <t>CL05B104KO5NNNC</t>
  </si>
  <si>
    <t>SAMSUNG(三星)</t>
  </si>
  <si>
    <t>CL05B104KO5NNNC.1</t>
  </si>
  <si>
    <t>1uF</t>
  </si>
  <si>
    <t>C5, C6</t>
  </si>
  <si>
    <t>CL05A105KA5NQNC</t>
  </si>
  <si>
    <t>CL05A105KA5NQNC.1</t>
  </si>
  <si>
    <t>C15, C16</t>
  </si>
  <si>
    <t>C52923</t>
  </si>
  <si>
    <t>USBLC6-2SC6</t>
  </si>
  <si>
    <t>D1</t>
  </si>
  <si>
    <t>SOT-23-6_L2.9-W1.6-P0.95-LS2.8-BL</t>
  </si>
  <si>
    <t>C323793</t>
  </si>
  <si>
    <t>SK6812MINI-E</t>
  </si>
  <si>
    <t>LED1, LED2, LED3, LED4, LED5, LED6</t>
  </si>
  <si>
    <t>LED-SMD_4P-L3.2-W2.8-LS5.9_SK6812MINI-E</t>
  </si>
  <si>
    <t>欧思科光电</t>
  </si>
  <si>
    <t>SK6812MINI-E_C5149201.1</t>
  </si>
  <si>
    <t>1kΩ</t>
  </si>
  <si>
    <t>R1, R2</t>
  </si>
  <si>
    <t>R0402</t>
  </si>
  <si>
    <t>0402WGF1001TCE</t>
  </si>
  <si>
    <t>UNI-ROYAL(厚声)</t>
  </si>
  <si>
    <t>C11702</t>
  </si>
  <si>
    <t>27Ω</t>
  </si>
  <si>
    <t>R3, R4</t>
  </si>
  <si>
    <t>0402WGF270JTCE</t>
  </si>
  <si>
    <t>C25100</t>
  </si>
  <si>
    <t>5.1kΩ</t>
  </si>
  <si>
    <t>R5, R6</t>
  </si>
  <si>
    <t>0402WGF5101TCE</t>
  </si>
  <si>
    <t>C25905</t>
  </si>
  <si>
    <t>CPG135001S30</t>
  </si>
  <si>
    <t>SK1, SK2, SK3, SK4, SK5, SK6</t>
  </si>
  <si>
    <t>CONN-SMD_HOTPLUGPAKAGE__C9900010116</t>
  </si>
  <si>
    <t>Kailh(凯华)</t>
  </si>
  <si>
    <t>CPG135001S30.1</t>
  </si>
  <si>
    <t>TS263065A 340gf SX BD SMD Tactile Switch</t>
  </si>
  <si>
    <t>SW1</t>
  </si>
  <si>
    <t>SW-SMD_4P-L3.0-W2.6-P1.80-LS3.4-TL</t>
  </si>
  <si>
    <t>SHOU HAN(首韩)</t>
  </si>
  <si>
    <t>TS263065A 340GF SX BD SMD TACTILE SWITCH.1</t>
  </si>
  <si>
    <t>W25Q64JVSSIQ</t>
  </si>
  <si>
    <t>U1</t>
  </si>
  <si>
    <t>SOIC-8_L5.3-W5.3-P1.27-LS8.0-BL</t>
  </si>
  <si>
    <t>Winbond(华邦)</t>
  </si>
  <si>
    <t>C179171</t>
  </si>
  <si>
    <t>ABM8-272-T3</t>
  </si>
  <si>
    <t>U2</t>
  </si>
  <si>
    <t>CRYSTAL-SMD_4P-L3.2-W2.5-BL-2</t>
  </si>
  <si>
    <t>C9900091606</t>
  </si>
  <si>
    <t>RP2040</t>
  </si>
  <si>
    <t>U3</t>
  </si>
  <si>
    <t>QFN-56_L7.0-W7.0-P0.40-TL-EP4.0</t>
  </si>
  <si>
    <t>Raspberry Pi(树莓派)</t>
  </si>
  <si>
    <t>C2961140</t>
  </si>
  <si>
    <t>XC6206P332MR-G</t>
  </si>
  <si>
    <t>U4</t>
  </si>
  <si>
    <t>SOT-23-3_L2.9-W1.6-P1.90-LS2.8-BR</t>
  </si>
  <si>
    <t>TOREX(特瑞仕)</t>
  </si>
  <si>
    <t>C5446</t>
  </si>
  <si>
    <t>TYPE-C-31-M-12</t>
  </si>
  <si>
    <t>USBC1</t>
  </si>
  <si>
    <t>USB-C_SMD-TYPE-C-31-M-12_1</t>
  </si>
  <si>
    <t>韩国韩荣</t>
  </si>
  <si>
    <t>C165948</t>
  </si>
  <si>
    <t>Project Title</t>
  </si>
  <si>
    <t>Borard Title</t>
  </si>
  <si>
    <t>&lt;Parameter borard title not found&gt;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</si>
  <si>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</si>
  <si>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</si>
  <si>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</si>
  <si>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</si>
  <si>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</si>
  <si>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</si>
  <si>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</si>
  <si>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17:50:17</t>
  </si>
  <si>
    <t>Report Date</t>
  </si>
  <si>
    <t>2026年8月17日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</si>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</sst>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10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2</v>
      </c>
      <c r="C9" s="9" t="s">
        <v>33</v>
      </c>
      <c r="D9" s="9" t="s">
        <v>34</v>
      </c>
      <c r="E9" s="9" t="s">
        <v>23</v>
      </c>
      <c r="F9" s="9" t="s">
        <v>33</v>
      </c>
      <c r="G9" s="9" t="s">
        <v>35</v>
      </c>
      <c r="H9" s="9" t="s">
        <v>31</v>
      </c>
      <c r="I9" s="9" t="s">
        <v>36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2</v>
      </c>
      <c r="C10" s="9" t="s">
        <v>33</v>
      </c>
      <c r="D10" s="9" t="s">
        <v>37</v>
      </c>
      <c r="E10" s="9" t="s">
        <v>23</v>
      </c>
      <c r="F10" s="9" t="s">
        <v>33</v>
      </c>
      <c r="G10" s="9" t="s">
        <v>35</v>
      </c>
      <c r="H10" s="9" t="s">
        <v>31</v>
      </c>
      <c r="I10" s="9" t="s">
        <v>38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1</v>
      </c>
      <c r="C11" s="9" t="s">
        <v>39</v>
      </c>
      <c r="D11" s="9" t="s">
        <v>40</v>
      </c>
      <c r="E11" s="9" t="s">
        <v>41</v>
      </c>
      <c r="F11" s="9" t="s">
        <v>0</v>
      </c>
      <c r="G11" s="9" t="s">
        <v>39</v>
      </c>
      <c r="H11" s="9" t="s">
        <v>0</v>
      </c>
      <c r="I11" s="9" t="s">
        <v>42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6</v>
      </c>
      <c r="C12" s="9" t="s">
        <v>43</v>
      </c>
      <c r="D12" s="9" t="s">
        <v>44</v>
      </c>
      <c r="E12" s="9" t="s">
        <v>45</v>
      </c>
      <c r="F12" s="9" t="s">
        <v>0</v>
      </c>
      <c r="G12" s="9" t="s">
        <v>43</v>
      </c>
      <c r="H12" s="9" t="s">
        <v>46</v>
      </c>
      <c r="I12" s="9" t="s">
        <v>47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2</v>
      </c>
      <c r="C13" s="9" t="s">
        <v>48</v>
      </c>
      <c r="D13" s="9" t="s">
        <v>49</v>
      </c>
      <c r="E13" s="9" t="s">
        <v>50</v>
      </c>
      <c r="F13" s="9" t="s">
        <v>48</v>
      </c>
      <c r="G13" s="9" t="s">
        <v>51</v>
      </c>
      <c r="H13" s="9" t="s">
        <v>52</v>
      </c>
      <c r="I13" s="9" t="s">
        <v>53</v>
      </c>
      <c r="J13" s="9" t="s">
        <v>27</v>
      </c>
      <c r="K13" s="9" t="s">
        <v>0</v>
      </c>
    </row>
    <row r="14" spans="1:11" x14ac:dyDescent="0.25">
      <c r="A14" s="8">
        <f>ROW()-6</f>
      </c>
      <c r="B14" s="9">
        <v>2</v>
      </c>
      <c r="C14" s="9" t="s">
        <v>54</v>
      </c>
      <c r="D14" s="9" t="s">
        <v>55</v>
      </c>
      <c r="E14" s="9" t="s">
        <v>50</v>
      </c>
      <c r="F14" s="9" t="s">
        <v>54</v>
      </c>
      <c r="G14" s="9" t="s">
        <v>56</v>
      </c>
      <c r="H14" s="9" t="s">
        <v>52</v>
      </c>
      <c r="I14" s="9" t="s">
        <v>57</v>
      </c>
      <c r="J14" s="9" t="s">
        <v>27</v>
      </c>
      <c r="K14" s="9" t="s">
        <v>0</v>
      </c>
    </row>
    <row r="15" spans="1:11" x14ac:dyDescent="0.25">
      <c r="A15" s="8">
        <f>ROW()-6</f>
      </c>
      <c r="B15" s="9">
        <v>2</v>
      </c>
      <c r="C15" s="9" t="s">
        <v>58</v>
      </c>
      <c r="D15" s="9" t="s">
        <v>59</v>
      </c>
      <c r="E15" s="9" t="s">
        <v>50</v>
      </c>
      <c r="F15" s="9" t="s">
        <v>58</v>
      </c>
      <c r="G15" s="9" t="s">
        <v>60</v>
      </c>
      <c r="H15" s="9" t="s">
        <v>52</v>
      </c>
      <c r="I15" s="9" t="s">
        <v>61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6</v>
      </c>
      <c r="C16" s="9" t="s">
        <v>62</v>
      </c>
      <c r="D16" s="9" t="s">
        <v>63</v>
      </c>
      <c r="E16" s="9" t="s">
        <v>64</v>
      </c>
      <c r="F16" s="9" t="s">
        <v>0</v>
      </c>
      <c r="G16" s="9" t="s">
        <v>62</v>
      </c>
      <c r="H16" s="9" t="s">
        <v>65</v>
      </c>
      <c r="I16" s="9" t="s">
        <v>66</v>
      </c>
      <c r="J16" s="9" t="s">
        <v>27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67</v>
      </c>
      <c r="D17" s="9" t="s">
        <v>68</v>
      </c>
      <c r="E17" s="9" t="s">
        <v>69</v>
      </c>
      <c r="F17" s="9" t="s">
        <v>0</v>
      </c>
      <c r="G17" s="9" t="s">
        <v>67</v>
      </c>
      <c r="H17" s="9" t="s">
        <v>70</v>
      </c>
      <c r="I17" s="9" t="s">
        <v>71</v>
      </c>
      <c r="J17" s="9" t="s">
        <v>27</v>
      </c>
      <c r="K17" s="9" t="s">
        <v>0</v>
      </c>
    </row>
    <row r="18" spans="1:11" x14ac:dyDescent="0.25">
      <c r="A18" s="8">
        <f>ROW()-6</f>
      </c>
      <c r="B18" s="9">
        <v>1</v>
      </c>
      <c r="C18" s="9" t="s">
        <v>72</v>
      </c>
      <c r="D18" s="9" t="s">
        <v>73</v>
      </c>
      <c r="E18" s="9" t="s">
        <v>74</v>
      </c>
      <c r="F18" s="9" t="s">
        <v>0</v>
      </c>
      <c r="G18" s="9" t="s">
        <v>72</v>
      </c>
      <c r="H18" s="9" t="s">
        <v>75</v>
      </c>
      <c r="I18" s="9" t="s">
        <v>76</v>
      </c>
      <c r="J18" s="9" t="s">
        <v>27</v>
      </c>
      <c r="K18" s="9" t="s">
        <v>0</v>
      </c>
    </row>
    <row r="19" spans="1:11" x14ac:dyDescent="0.25">
      <c r="A19" s="8">
        <f>ROW()-6</f>
      </c>
      <c r="B19" s="9">
        <v>1</v>
      </c>
      <c r="C19" s="9" t="s">
        <v>77</v>
      </c>
      <c r="D19" s="9" t="s">
        <v>78</v>
      </c>
      <c r="E19" s="9" t="s">
        <v>79</v>
      </c>
      <c r="F19" s="9" t="s">
        <v>0</v>
      </c>
      <c r="G19" s="9" t="s">
        <v>77</v>
      </c>
      <c r="H19" s="9" t="s">
        <v>0</v>
      </c>
      <c r="I19" s="9" t="s">
        <v>80</v>
      </c>
      <c r="J19" s="9" t="s">
        <v>27</v>
      </c>
      <c r="K19" s="9" t="s">
        <v>0</v>
      </c>
    </row>
    <row r="20" spans="1:11" x14ac:dyDescent="0.25">
      <c r="A20" s="8">
        <f>ROW()-6</f>
      </c>
      <c r="B20" s="9">
        <v>1</v>
      </c>
      <c r="C20" s="9" t="s">
        <v>81</v>
      </c>
      <c r="D20" s="9" t="s">
        <v>82</v>
      </c>
      <c r="E20" s="9" t="s">
        <v>83</v>
      </c>
      <c r="F20" s="9" t="s">
        <v>0</v>
      </c>
      <c r="G20" s="9" t="s">
        <v>81</v>
      </c>
      <c r="H20" s="9" t="s">
        <v>84</v>
      </c>
      <c r="I20" s="9" t="s">
        <v>85</v>
      </c>
      <c r="J20" s="9" t="s">
        <v>27</v>
      </c>
      <c r="K20" s="9" t="s">
        <v>0</v>
      </c>
    </row>
    <row r="21" spans="1:11" x14ac:dyDescent="0.25">
      <c r="A21" s="8">
        <f>ROW()-6</f>
      </c>
      <c r="B21" s="9">
        <v>1</v>
      </c>
      <c r="C21" s="9" t="s">
        <v>86</v>
      </c>
      <c r="D21" s="9" t="s">
        <v>87</v>
      </c>
      <c r="E21" s="9" t="s">
        <v>88</v>
      </c>
      <c r="F21" s="9" t="s">
        <v>0</v>
      </c>
      <c r="G21" s="9" t="s">
        <v>86</v>
      </c>
      <c r="H21" s="9" t="s">
        <v>89</v>
      </c>
      <c r="I21" s="9" t="s">
        <v>90</v>
      </c>
      <c r="J21" s="9" t="s">
        <v>27</v>
      </c>
      <c r="K21" s="9" t="s">
        <v>0</v>
      </c>
    </row>
    <row r="22" spans="1:11" x14ac:dyDescent="0.25">
      <c r="A22" s="8">
        <f>ROW()-6</f>
      </c>
      <c r="B22" s="9">
        <v>1</v>
      </c>
      <c r="C22" s="9" t="s">
        <v>91</v>
      </c>
      <c r="D22" s="9" t="s">
        <v>92</v>
      </c>
      <c r="E22" s="9" t="s">
        <v>93</v>
      </c>
      <c r="F22" s="9" t="s">
        <v>0</v>
      </c>
      <c r="G22" s="9" t="s">
        <v>91</v>
      </c>
      <c r="H22" s="9" t="s">
        <v>94</v>
      </c>
      <c r="I22" s="9" t="s">
        <v>95</v>
      </c>
      <c r="J22" s="9" t="s">
        <v>27</v>
      </c>
      <c r="K22" s="9" t="s">
        <v>0</v>
      </c>
    </row>
    <row r="23" spans="1:12" x14ac:dyDescent="0.25">
      <c r="A23" s="8">
        <f>ROW()-6</f>
      </c>
      <c r="B23" s="10">
        <f>SUM(L7:L22)</f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4">
    <mergeCell ref="A1:D5"/>
    <mergeCell ref="E1:E2"/>
    <mergeCell ref="F1:F2"/>
    <mergeCell ref="B23:L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96</v>
      </c>
      <c r="B1" s="6" t="s">
        <v>4</v>
      </c>
    </row>
    <row r="2" spans="1:2" x14ac:dyDescent="0.25">
      <c r="A2" s="6" t="s">
        <v>97</v>
      </c>
      <c r="B2" s="6" t="s">
        <v>98</v>
      </c>
    </row>
    <row r="3" spans="1:2" x14ac:dyDescent="0.25">
      <c r="A3" s="6" t="s">
        <v>99</v>
      </c>
      <c r="B3" s="6" t="s">
        <v>100</v>
      </c>
    </row>
    <row r="4" spans="1:2" x14ac:dyDescent="0.25">
      <c r="A4" s="6" t="s">
        <v>101</v>
      </c>
      <c r="B4" s="6" t="s">
        <v>102</v>
      </c>
    </row>
    <row r="5" spans="1:2" x14ac:dyDescent="0.25">
      <c r="A5" s="6" t="s">
        <v>103</v>
      </c>
      <c r="B5" s="6" t="s">
        <v>6</v>
      </c>
    </row>
    <row r="6" spans="1:2" x14ac:dyDescent="0.25">
      <c r="A6" s="6" t="s">
        <v>104</v>
      </c>
      <c r="B6" s="6">
        <v>41</v>
      </c>
    </row>
    <row r="7" spans="1:2" x14ac:dyDescent="0.25">
      <c r="A7" s="6" t="s">
        <v>105</v>
      </c>
      <c r="B7" s="6" t="s">
        <v>106</v>
      </c>
    </row>
    <row r="8" spans="1:2" x14ac:dyDescent="0.25">
      <c r="A8" s="6" t="s">
        <v>107</v>
      </c>
      <c r="B8" s="6" t="s">
        <v>108</v>
      </c>
    </row>
    <row r="9" spans="1:2" x14ac:dyDescent="0.25">
      <c r="A9" s="6" t="s">
        <v>109</v>
      </c>
      <c r="B9" s="6" t="s">
        <v>8</v>
      </c>
    </row>
    <row r="10" spans="1:2" x14ac:dyDescent="0.25">
      <c r="A10" s="6" t="s">
        <v>110</v>
      </c>
      <c r="B10" s="6" t="s">
        <v>2</v>
      </c>
    </row>
    <row r="11" spans="1:2" x14ac:dyDescent="0.25">
      <c r="A11" s="6" t="s">
        <v>111</v>
      </c>
      <c r="B11" s="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2026-08-17T08:50:17Z</dcterms:modified>
</cp:coreProperties>
</file>